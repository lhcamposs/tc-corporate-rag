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erguntas" sheetId="2" state="visible" r:id="rId2"/>
    <sheet xmlns:r="http://schemas.openxmlformats.org/officeDocument/2006/relationships" name="C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Gabarito do experimento (Seção 3.9 da monografia)</t>
        </is>
      </c>
    </row>
    <row r="2"/>
    <row r="3">
      <c r="A3" t="inlineStr">
        <is>
          <t>1. Na aba Perguntas, cada linha já tem o tipo e a área definidos pelas cotas. Escreva a pergunta e a resposta de referência.</t>
        </is>
      </c>
    </row>
    <row r="4">
      <c r="A4" t="inlineStr">
        <is>
          <t>2. literal: usa as mesmas palavras do trecho que a responde. parafrase: a mesma dúvida com outras palavras (evite repetir os termos do trecho).</t>
        </is>
      </c>
    </row>
    <row r="5">
      <c r="A5" t="inlineStr">
        <is>
          <t>3. sem_resposta: pergunta plausível sobre a instituição cuja resposta NÃO está na base. Deixe trechos_relevantes vazio.</t>
        </is>
      </c>
    </row>
    <row r="6">
      <c r="A6" t="inlineStr">
        <is>
          <t>4. trechos_relevantes: os vector_id (copiados de trechos.xlsx) de TODOS os trechos que contêm a resposta, separados por ponto e vírgula.</t>
        </is>
      </c>
    </row>
    <row r="7">
      <c r="A7" t="inlineStr">
        <is>
          <t xml:space="preserve">   Se a resposta estiver no registro da base relacional e no PDF de origem, marque os dois.</t>
        </is>
      </c>
    </row>
    <row r="8">
      <c r="A8" t="inlineStr">
        <is>
          <t>5. resposta_referencia: curta e completa, como você responderia (ex.: '45 dias para docentes EBTT e 30 para técnicos').</t>
        </is>
      </c>
    </row>
    <row r="9">
      <c r="A9" t="inlineStr">
        <is>
          <t>6. A aba Cotas mostra quantas perguntas de cada tipo e área já foram escritas.</t>
        </is>
      </c>
    </row>
    <row r="10">
      <c r="A10" t="inlineStr">
        <is>
          <t>7. Termine o gabarito ANTES de rodar 'recuperar' e 'gerar', para que ele não seja influenciado pelos resultados.</t>
        </is>
      </c>
    </row>
    <row r="11">
      <c r="A11" t="inlineStr">
        <is>
          <t>8. Rode 'python avaliar.py validar' para conferir tudo.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4" customWidth="1" min="3" max="3"/>
    <col width="60" customWidth="1" min="4" max="4"/>
    <col width="60" customWidth="1" min="5" max="5"/>
    <col width="42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tipo</t>
        </is>
      </c>
      <c r="C1" s="2" t="inlineStr">
        <is>
          <t>area</t>
        </is>
      </c>
      <c r="D1" s="2" t="inlineStr">
        <is>
          <t>pergunta</t>
        </is>
      </c>
      <c r="E1" s="2" t="inlineStr">
        <is>
          <t>resposta_referencia</t>
        </is>
      </c>
      <c r="F1" s="2" t="inlineStr">
        <is>
          <t>trechos_relevantes</t>
        </is>
      </c>
      <c r="G1" s="2" t="inlineStr">
        <is>
          <t>observacoes</t>
        </is>
      </c>
    </row>
    <row r="2">
      <c r="A2" s="3" t="inlineStr">
        <is>
          <t>P01</t>
        </is>
      </c>
      <c r="B2" s="3" t="inlineStr">
        <is>
          <t>literal</t>
        </is>
      </c>
      <c r="C2" s="3" t="inlineStr">
        <is>
          <t>Gestão de pessoas</t>
        </is>
      </c>
      <c r="D2" s="3" t="inlineStr">
        <is>
          <t>Qual é a duração da licença à gestante e por quantos dias ela pode ser prorrogada?</t>
        </is>
      </c>
      <c r="E2" s="3" t="inlineStr">
        <is>
          <t>120 dias consecutivos, prorrogáveis por mais 60 dias se a servidora pedir até o 30º dia após o parto.</t>
        </is>
      </c>
      <c r="F2" s="3" t="inlineStr">
        <is>
          <t>fa09e8ad-85f1-3b2d-9638-15d6d57f9f26; ec3f43f2-59fd-34f7-aa2b-b4f209df0107</t>
        </is>
      </c>
      <c r="G2" s="3" t="inlineStr">
        <is>
          <t>Trechos: Licença_à_Gestante_e_Prorrogação (trecho 0); Licença_à_Gestante_e_Prorrogação (trecho 1)</t>
        </is>
      </c>
    </row>
    <row r="3">
      <c r="A3" s="3" t="inlineStr">
        <is>
          <t>P02</t>
        </is>
      </c>
      <c r="B3" s="3" t="inlineStr">
        <is>
          <t>literal</t>
        </is>
      </c>
      <c r="C3" s="3" t="inlineStr">
        <is>
          <t>Gestão de pessoas</t>
        </is>
      </c>
      <c r="D3" s="3" t="inlineStr">
        <is>
          <t>Qual é a duração do estágio probatório e quantas avaliações são feitas nesse período?</t>
        </is>
      </c>
      <c r="E3" s="3" t="inlineStr">
        <is>
          <t>36 meses, com 3 avaliações, uma a cada 10 meses; é aprovado quem obtém média mínima 7,0.</t>
        </is>
      </c>
      <c r="F3" s="3" t="inlineStr">
        <is>
          <t>38e53576-c112-370f-bf10-d38821992a64; 4fe82275-08c1-36e5-b93f-2e2e1a7685eb</t>
        </is>
      </c>
      <c r="G3" s="3" t="inlineStr">
        <is>
          <t>Trechos: ESTÁGIO_PROBATÓRIO (trecho 0); ESTÁGIO_PROBATÓRIO (trecho 1)</t>
        </is>
      </c>
    </row>
    <row r="4">
      <c r="A4" s="3" t="inlineStr">
        <is>
          <t>P03</t>
        </is>
      </c>
      <c r="B4" s="3" t="inlineStr">
        <is>
          <t>literal</t>
        </is>
      </c>
      <c r="C4" s="3" t="inlineStr">
        <is>
          <t>Gestão de pessoas</t>
        </is>
      </c>
      <c r="D4" s="3" t="inlineStr">
        <is>
          <t>Qual é a carga horária mínima de cada curso apresentado para a progressão por capacitação?</t>
        </is>
      </c>
      <c r="E4" s="3" t="inlineStr">
        <is>
          <t>No mínimo 20 horas por curso.</t>
        </is>
      </c>
      <c r="F4" s="3" t="inlineStr">
        <is>
          <t>940a8ad0-49b0-38c6-a4f0-dbb9cbea2a66</t>
        </is>
      </c>
      <c r="G4" s="3" t="inlineStr">
        <is>
          <t>Trechos: Progressão_por_Capacitação (trecho 1)</t>
        </is>
      </c>
    </row>
    <row r="5">
      <c r="A5" s="3" t="inlineStr">
        <is>
          <t>P04</t>
        </is>
      </c>
      <c r="B5" s="3" t="inlineStr">
        <is>
          <t>literal</t>
        </is>
      </c>
      <c r="C5" s="3" t="inlineStr">
        <is>
          <t>Gestão de pessoas</t>
        </is>
      </c>
      <c r="D5" s="3" t="inlineStr">
        <is>
          <t>Qual o percentual da antecipação de salário que pode ser solicitada nas férias e quando ela é descontada?</t>
        </is>
      </c>
      <c r="E5" s="3" t="inlineStr">
        <is>
          <t>70% da remuneração, proporcional aos dias de férias do mês; é descontada em parcela única na folha seguinte ao término das férias.</t>
        </is>
      </c>
      <c r="F5" s="3" t="inlineStr">
        <is>
          <t>e665cb45-34a2-3aae-bfa5-62c0b3e3326b; 837d8865-23b8-3287-864e-09b5bced8609</t>
        </is>
      </c>
      <c r="G5" s="3" t="inlineStr">
        <is>
          <t>Trechos: Férias_Atualizado (trecho 4); Férias_Atualizado (trecho 5)</t>
        </is>
      </c>
    </row>
    <row r="6">
      <c r="A6" s="3" t="inlineStr">
        <is>
          <t>P05</t>
        </is>
      </c>
      <c r="B6" s="3" t="inlineStr">
        <is>
          <t>literal</t>
        </is>
      </c>
      <c r="C6" s="3" t="inlineStr">
        <is>
          <t>Gestão de pessoas</t>
        </is>
      </c>
      <c r="D6" s="3" t="inlineStr">
        <is>
          <t>Por quantos dias a licença por motivo de doença em pessoa da família é concedida com remuneração?</t>
        </is>
      </c>
      <c r="E6" s="3" t="inlineStr">
        <is>
          <t>Até 60 dias, consecutivos ou não, a cada 12 meses; depois, até mais 90 dias sem remuneração, no máximo 150 dias no total.</t>
        </is>
      </c>
      <c r="F6" s="3" t="inlineStr">
        <is>
          <t>3abcea00-37af-3f31-be99-acbc2e058e4d</t>
        </is>
      </c>
      <c r="G6" s="3" t="inlineStr">
        <is>
          <t>Trechos: Licença_para_acompanhamento_de_pessoa_da_familia-_site (trecho 1)</t>
        </is>
      </c>
    </row>
    <row r="7">
      <c r="A7" s="3" t="inlineStr">
        <is>
          <t>P06</t>
        </is>
      </c>
      <c r="B7" s="3" t="inlineStr">
        <is>
          <t>literal</t>
        </is>
      </c>
      <c r="C7" s="3" t="inlineStr">
        <is>
          <t>Gestão de pessoas</t>
        </is>
      </c>
      <c r="D7" s="3" t="inlineStr">
        <is>
          <t>Qual o prazo para apresentar o diploma definitivo quando a retribuição por titulação é solicitada com documentação provisória?</t>
        </is>
      </c>
      <c r="E7" s="3" t="inlineStr">
        <is>
          <t>120 dias úteis.</t>
        </is>
      </c>
      <c r="F7" s="3" t="inlineStr">
        <is>
          <t>d61f3624-3df4-37db-a2d3-d2adce483d9d</t>
        </is>
      </c>
      <c r="G7" s="3" t="inlineStr">
        <is>
          <t>Trechos: Retribuição_por_Titulação (trecho 0)</t>
        </is>
      </c>
    </row>
    <row r="8">
      <c r="A8" s="3" t="inlineStr">
        <is>
          <t>P07</t>
        </is>
      </c>
      <c r="B8" s="3" t="inlineStr">
        <is>
          <t>literal</t>
        </is>
      </c>
      <c r="C8" s="3" t="inlineStr">
        <is>
          <t>Gestão de pessoas</t>
        </is>
      </c>
      <c r="D8" s="3" t="inlineStr">
        <is>
          <t>Qual o prazo para entregar o certificado de conclusão de um curso de capacitação de curta duração e o que acontece se ele não for entregue?</t>
        </is>
      </c>
      <c r="E8" s="3" t="inlineStr">
        <is>
          <t>30 dias; quem não apresenta fica impedido de pleitear novos eventos por um ano e deve reembolsar o valor concedido, salvo caso fortuito ou força maior.</t>
        </is>
      </c>
      <c r="F8" s="3" t="inlineStr">
        <is>
          <t>647e01f7-6358-31f8-ba9c-563ba0252b09; 4ceac306-e272-3c3d-86e9-d1258b1d2080</t>
        </is>
      </c>
      <c r="G8" s="3" t="inlineStr">
        <is>
          <t>Trechos: Cursos_de_Capacitação_de_Curta_Duração (trecho 1); Cursos_de_Capacitação_de_Curta_Duração (trecho 2)</t>
        </is>
      </c>
    </row>
    <row r="9">
      <c r="A9" s="3" t="inlineStr">
        <is>
          <t>P08</t>
        </is>
      </c>
      <c r="B9" s="3" t="inlineStr">
        <is>
          <t>parafrase</t>
        </is>
      </c>
      <c r="C9" s="3" t="inlineStr">
        <is>
          <t>Gestão de pessoas</t>
        </is>
      </c>
      <c r="D9" s="3" t="inlineStr">
        <is>
          <t>Meu filho nasceu e minha esposa não trabalha no serviço público federal. Eu, como servidor, tenho direito a receber algum valor por isso?</t>
        </is>
      </c>
      <c r="E9" s="3" t="inlineStr">
        <is>
          <t>Sim, o auxílio-natalidade, que pode ser pedido pelo pai servidor quando a mãe não é servidora federal (opção 'Auxílio Natalidade (Pai)' no SouGov); equivale ao menor vencimento do serviço público, pago em parcela única.</t>
        </is>
      </c>
      <c r="F9" s="3" t="inlineStr">
        <is>
          <t>dc0049dd-56d3-3a2e-b04b-ac26148cf2c5; ed1e3df3-8812-310a-8ecd-17f85734893c</t>
        </is>
      </c>
      <c r="G9" s="3" t="inlineStr">
        <is>
          <t>Trechos: Manual_do_servidor_-_Auxilio_Natalidade (trecho 0); Manual_do_servidor_-_Auxilio_Natalidade (trecho 1)</t>
        </is>
      </c>
    </row>
    <row r="10">
      <c r="A10" s="3" t="inlineStr">
        <is>
          <t>P09</t>
        </is>
      </c>
      <c r="B10" s="3" t="inlineStr">
        <is>
          <t>parafrase</t>
        </is>
      </c>
      <c r="C10" s="3" t="inlineStr">
        <is>
          <t>Gestão de pessoas</t>
        </is>
      </c>
      <c r="D10" s="3" t="inlineStr">
        <is>
          <t>Fui aprovado num concurso da prefeitura e vou assumir o novo cargo. Tenho de pedir exoneração do instituto ou existe outra saída que não rompa meu vínculo?</t>
        </is>
      </c>
      <c r="E10" s="3" t="inlineStr">
        <is>
          <t>Pode pedir vacância por posse em outro cargo inacumulável; a data da vacância deve coincidir com a da posse e, se o servidor for estável, fica garantido o direito à recondução.</t>
        </is>
      </c>
      <c r="F10" s="3" t="inlineStr">
        <is>
          <t>495f0070-1c93-31a7-abbf-20c93d0047e5; 9718a7cb-59d7-3dea-9d76-1463c1a467b1</t>
        </is>
      </c>
      <c r="G10" s="3" t="inlineStr">
        <is>
          <t>Trechos: VACÂNCIA_POR_POSSE_EM_OUTRO_CARGO_INACUMULÁVEL (trecho 0); VACÂNCIA_POR_POSSE_EM_OUTRO_CARGO_INACUMULÁVEL (trecho 1)</t>
        </is>
      </c>
    </row>
    <row r="11">
      <c r="A11" s="3" t="inlineStr">
        <is>
          <t>P10</t>
        </is>
      </c>
      <c r="B11" s="3" t="inlineStr">
        <is>
          <t>parafrase</t>
        </is>
      </c>
      <c r="C11" s="3" t="inlineStr">
        <is>
          <t>Gestão de pessoas</t>
        </is>
      </c>
      <c r="D11" s="3" t="inlineStr">
        <is>
          <t>Trabalho no governo federal há três anos. Já posso me afastar por alguns meses para fazer um curso de qualificação?</t>
        </is>
      </c>
      <c r="E11" s="3" t="inlineStr">
        <is>
          <t>Não pela licença para capacitação: ela exige no mínimo 5 anos de efetivo exercício no serviço público federal, além de estágio probatório concluído e aprovado.</t>
        </is>
      </c>
      <c r="F11" s="3" t="inlineStr">
        <is>
          <t>47847916-e3ca-308d-9ccc-1c8f330e1b4d</t>
        </is>
      </c>
      <c r="G11" s="3" t="inlineStr">
        <is>
          <t>Trechos: Manual_Licenca_Capacitacao1 (trecho 0)</t>
        </is>
      </c>
    </row>
    <row r="12">
      <c r="A12" s="3" t="inlineStr">
        <is>
          <t>P11</t>
        </is>
      </c>
      <c r="B12" s="3" t="inlineStr">
        <is>
          <t>parafrase</t>
        </is>
      </c>
      <c r="C12" s="3" t="inlineStr">
        <is>
          <t>Gestão de pessoas</t>
        </is>
      </c>
      <c r="D12" s="3" t="inlineStr">
        <is>
          <t>Assumi uma função de direção em outra cidade e estou pagando aluguel por lá. O instituto cobre esse gasto? Até quanto?</t>
        </is>
      </c>
      <c r="E12" s="3" t="inlineStr">
        <is>
          <t>Sim, pelo auxílio-moradia, que ressarce aluguel ou hospedagem de quem foi nomeado para cargo em comissão CD-01 a CD-03 quando não há imóvel funcional; limitado a 25% do valor do cargo, com ressarcimento garantido até R$ 1.800,00.</t>
        </is>
      </c>
      <c r="F12" s="3" t="inlineStr">
        <is>
          <t>2cee54b3-e709-3b74-85ab-790eea7b16d4; 818c5c68-2fca-3019-b2b9-84dfdbffec6d</t>
        </is>
      </c>
      <c r="G12" s="3" t="inlineStr">
        <is>
          <t>Trechos: Auxílio_Moradia (trecho 0); Auxílio_Moradia (trecho 4)</t>
        </is>
      </c>
    </row>
    <row r="13">
      <c r="A13" s="3" t="inlineStr">
        <is>
          <t>P12</t>
        </is>
      </c>
      <c r="B13" s="3" t="inlineStr">
        <is>
          <t>parafrase</t>
        </is>
      </c>
      <c r="C13" s="3" t="inlineStr">
        <is>
          <t>Gestão de pessoas</t>
        </is>
      </c>
      <c r="D13" s="3" t="inlineStr">
        <is>
          <t>Contratei um convênio médico particular. O IF devolve parte da mensalidade? Recebo também os meses que paguei antes de pedir?</t>
        </is>
      </c>
      <c r="E13" s="3" t="inlineStr">
        <is>
          <t>Sim, na modalidade plano particular (ressarcimento), desde que o servidor seja o titular do plano; o ressarcimento só é devido a partir da data da solicitação e não retroage.</t>
        </is>
      </c>
      <c r="F13" s="3" t="inlineStr">
        <is>
          <t>41ae166f-775e-3232-b21e-cae48548ba22; 76052854-4f9b-3579-9112-5802a4fbdce0</t>
        </is>
      </c>
      <c r="G13" s="3" t="inlineStr">
        <is>
          <t>Trechos: ASSISTÊNCIA_À_SAÚDE_SUPLEMENTAR_-_atualizado (trecho 0); ASSISTÊNCIA_À_SAÚDE_SUPLEMENTAR_-_atualizado (trecho 4)</t>
        </is>
      </c>
    </row>
    <row r="14">
      <c r="A14" s="3" t="inlineStr">
        <is>
          <t>P13</t>
        </is>
      </c>
      <c r="B14" s="3" t="inlineStr">
        <is>
          <t>parafrase</t>
        </is>
      </c>
      <c r="C14" s="3" t="inlineStr">
        <is>
          <t>Gestão de pessoas</t>
        </is>
      </c>
      <c r="D14" s="3" t="inlineStr">
        <is>
          <t>Se eu dividir meu descanso anual em três partes, quando recebo aquele adicional de um terço?</t>
        </is>
      </c>
      <c r="E14" s="3" t="inlineStr">
        <is>
          <t>O adicional de 1/3 é pago integralmente na primeira parcela, na folha do mês de início das férias.</t>
        </is>
      </c>
      <c r="F14" s="3" t="inlineStr">
        <is>
          <t>e665cb45-34a2-3aae-bfa5-62c0b3e3326b</t>
        </is>
      </c>
      <c r="G14" s="3" t="inlineStr">
        <is>
          <t>Trechos: Férias_Atualizado (trecho 4)</t>
        </is>
      </c>
    </row>
    <row r="15">
      <c r="A15" s="3" t="inlineStr">
        <is>
          <t>P14</t>
        </is>
      </c>
      <c r="B15" s="3" t="inlineStr">
        <is>
          <t>literal</t>
        </is>
      </c>
      <c r="C15" s="3" t="inlineStr">
        <is>
          <t>Regimento interno</t>
        </is>
      </c>
      <c r="D15" s="3" t="inlineStr">
        <is>
          <t>Qual é o órgão máximo do IF Goiano?</t>
        </is>
      </c>
      <c r="E15" s="3" t="inlineStr">
        <is>
          <t>O Conselho Superior, de caráter consultivo e deliberativo.</t>
        </is>
      </c>
      <c r="F15" s="3" t="inlineStr">
        <is>
          <t>dca33f4c-39a2-3426-9c66-4a1669830b77; 5fb1e48d-d6ee-345d-96c1-dab335463ca3</t>
        </is>
      </c>
      <c r="G15" s="3" t="inlineStr">
        <is>
          <t>Trechos: Regimento_Interno_-_Reitoria (trecho 0); Regimento_Interno_-_Reitoria (trecho 4)</t>
        </is>
      </c>
    </row>
    <row r="16">
      <c r="A16" s="3" t="inlineStr">
        <is>
          <t>P15</t>
        </is>
      </c>
      <c r="B16" s="3" t="inlineStr">
        <is>
          <t>literal</t>
        </is>
      </c>
      <c r="C16" s="3" t="inlineStr">
        <is>
          <t>Regimento interno</t>
        </is>
      </c>
      <c r="D16" s="3" t="inlineStr">
        <is>
          <t>Qual o prazo para o CEUA enviar ao CONCEA o relatório de investigação de acidentes com animais?</t>
        </is>
      </c>
      <c r="E16" s="3" t="inlineStr">
        <is>
          <t>30 dias, contados da data do evento.</t>
        </is>
      </c>
      <c r="F16" s="3" t="inlineStr">
        <is>
          <t>e4927192-d78e-3351-8d07-5992c6a07ef8</t>
        </is>
      </c>
      <c r="G16" s="3" t="inlineStr">
        <is>
          <t>Trechos: Regimento_Interno_-_Reitoria (trecho 6)</t>
        </is>
      </c>
    </row>
    <row r="17">
      <c r="A17" s="3" t="inlineStr">
        <is>
          <t>P16</t>
        </is>
      </c>
      <c r="B17" s="3" t="inlineStr">
        <is>
          <t>literal</t>
        </is>
      </c>
      <c r="C17" s="3" t="inlineStr">
        <is>
          <t>Regimento interno</t>
        </is>
      </c>
      <c r="D17" s="3" t="inlineStr">
        <is>
          <t>O que deve conter o Plano Anual de Atividades de Auditoria Interna (PAINT)?</t>
        </is>
      </c>
      <c r="E17" s="3" t="inlineStr">
        <is>
          <t>A programação dos trabalhos de auditoria interna para o exercício seguinte; é elaborado pela Coordenação-Geral de Auditoria.</t>
        </is>
      </c>
      <c r="F17" s="3" t="inlineStr">
        <is>
          <t>9efe3e76-bc92-3ba5-8f10-3b8fa9b5cf45</t>
        </is>
      </c>
      <c r="G17" s="3" t="inlineStr">
        <is>
          <t>Trechos: Regimento_Interno_-_Reitoria (trecho 7)</t>
        </is>
      </c>
    </row>
    <row r="18">
      <c r="A18" s="3" t="inlineStr">
        <is>
          <t>P17</t>
        </is>
      </c>
      <c r="B18" s="3" t="inlineStr">
        <is>
          <t>literal</t>
        </is>
      </c>
      <c r="C18" s="3" t="inlineStr">
        <is>
          <t>Regimento interno</t>
        </is>
      </c>
      <c r="D18" s="3" t="inlineStr">
        <is>
          <t>Qual o prazo para revisar os regulamentos internos que não estiverem em consonância com o Regimento Interno da Reitoria?</t>
        </is>
      </c>
      <c r="E18" s="3" t="inlineStr">
        <is>
          <t>6 meses após a aprovação do Regimento pelo Conselho Superior.</t>
        </is>
      </c>
      <c r="F18" s="3" t="inlineStr">
        <is>
          <t>5985928e-34dd-3134-9145-fde92358402e</t>
        </is>
      </c>
      <c r="G18" s="3" t="inlineStr">
        <is>
          <t>Trechos: Regimento_Interno_-_Reitoria (trecho 76)</t>
        </is>
      </c>
    </row>
    <row r="19">
      <c r="A19" s="3" t="inlineStr">
        <is>
          <t>P18</t>
        </is>
      </c>
      <c r="B19" s="3" t="inlineStr">
        <is>
          <t>literal</t>
        </is>
      </c>
      <c r="C19" s="3" t="inlineStr">
        <is>
          <t>Regimento interno</t>
        </is>
      </c>
      <c r="D19" s="3" t="inlineStr">
        <is>
          <t>Segundo o Regimento Interno, qual coordenação é responsável pelo pagamento de diárias através do SCDP?</t>
        </is>
      </c>
      <c r="E19" s="3" t="inlineStr">
        <is>
          <t>A Coordenação de Execução Orçamentária e Financeira.</t>
        </is>
      </c>
      <c r="F19" s="3" t="inlineStr">
        <is>
          <t>585a31d6-a55a-3b2c-a97f-78477b06e1ff</t>
        </is>
      </c>
      <c r="G19" s="3" t="inlineStr">
        <is>
          <t>Trechos: Regimento_Interno_-_Reitoria (trecho 30)</t>
        </is>
      </c>
    </row>
    <row r="20">
      <c r="A20" s="3" t="inlineStr">
        <is>
          <t>P19</t>
        </is>
      </c>
      <c r="B20" s="3" t="inlineStr">
        <is>
          <t>parafrase</t>
        </is>
      </c>
      <c r="C20" s="3" t="inlineStr">
        <is>
          <t>Regimento interno</t>
        </is>
      </c>
      <c r="D20" s="3" t="inlineStr">
        <is>
          <t>Quem organiza os compromissos do reitor e recebe as pessoas que vão visitá-lo?</t>
        </is>
      </c>
      <c r="E20" s="3" t="inlineStr">
        <is>
          <t>A Coordenação-Geral de Gabinete.</t>
        </is>
      </c>
      <c r="F20" s="3" t="inlineStr">
        <is>
          <t>4835e97c-efc7-395a-9e57-1a040571412f</t>
        </is>
      </c>
      <c r="G20" s="3" t="inlineStr">
        <is>
          <t>Trechos: Regimento_Interno_-_Reitoria (trecho 12)</t>
        </is>
      </c>
    </row>
    <row r="21">
      <c r="A21" s="3" t="inlineStr">
        <is>
          <t>P20</t>
        </is>
      </c>
      <c r="B21" s="3" t="inlineStr">
        <is>
          <t>parafrase</t>
        </is>
      </c>
      <c r="C21" s="3" t="inlineStr">
        <is>
          <t>Regimento interno</t>
        </is>
      </c>
      <c r="D21" s="3" t="inlineStr">
        <is>
          <t>Um professor quer usar ratos numa aula prática. Que comissão precisa avaliar esse plano antes?</t>
        </is>
      </c>
      <c r="E21" s="3" t="inlineStr">
        <is>
          <t>A Comissão de Ética no Uso de Animais (CEUA), que examina previamente os protocolos pedagógicos e experimentais.</t>
        </is>
      </c>
      <c r="F21" s="3" t="inlineStr">
        <is>
          <t>484223d4-35cd-312d-9436-2f2721fb7c09; e4927192-d78e-3351-8d07-5992c6a07ef8</t>
        </is>
      </c>
      <c r="G21" s="3" t="inlineStr">
        <is>
          <t>Trechos: Regimento_Interno_-_Reitoria (trecho 5); Regimento_Interno_-_Reitoria (trecho 6)</t>
        </is>
      </c>
    </row>
    <row r="22">
      <c r="A22" s="3" t="inlineStr">
        <is>
          <t>P21</t>
        </is>
      </c>
      <c r="B22" s="3" t="inlineStr">
        <is>
          <t>parafrase</t>
        </is>
      </c>
      <c r="C22" s="3" t="inlineStr">
        <is>
          <t>Regimento interno</t>
        </is>
      </c>
      <c r="D22" s="3" t="inlineStr">
        <is>
          <t>Quem verifica se os estudos feitos com pessoas como participantes respeitam a ética?</t>
        </is>
      </c>
      <c r="E22" s="3" t="inlineStr">
        <is>
          <t>O Comitê de Ética em Pesquisa (CEP), que analisa os protocolos de pesquisa envolvendo seres humanos.</t>
        </is>
      </c>
      <c r="F22" s="3" t="inlineStr">
        <is>
          <t>484223d4-35cd-312d-9436-2f2721fb7c09</t>
        </is>
      </c>
      <c r="G22" s="3" t="inlineStr">
        <is>
          <t>Trechos: Regimento_Interno_-_Reitoria (trecho 5)</t>
        </is>
      </c>
    </row>
    <row r="23">
      <c r="A23" s="3" t="inlineStr">
        <is>
          <t>P22</t>
        </is>
      </c>
      <c r="B23" s="3" t="inlineStr">
        <is>
          <t>parafrase</t>
        </is>
      </c>
      <c r="C23" s="3" t="inlineStr">
        <is>
          <t>Regimento interno</t>
        </is>
      </c>
      <c r="D23" s="3" t="inlineStr">
        <is>
          <t>Um computador da instituição sumiu. Que setor da Reitoria cuida da apuração?</t>
        </is>
      </c>
      <c r="E23" s="3" t="inlineStr">
        <is>
          <t>A Unidade de Processos Administrativos Disciplinares, que atende às sindicâncias patrimoniais sobre desaparecimento de bens.</t>
        </is>
      </c>
      <c r="F23" s="3" t="inlineStr">
        <is>
          <t>327cdff0-25b6-30da-bcc7-ac20f3af3565</t>
        </is>
      </c>
      <c r="G23" s="3" t="inlineStr">
        <is>
          <t>Trechos: Regimento_Interno_-_Reitoria (trecho 13)</t>
        </is>
      </c>
    </row>
    <row r="24">
      <c r="A24" s="3" t="inlineStr">
        <is>
          <t>P23</t>
        </is>
      </c>
      <c r="B24" s="3" t="inlineStr">
        <is>
          <t>parafrase</t>
        </is>
      </c>
      <c r="C24" s="3" t="inlineStr">
        <is>
          <t>Regimento interno</t>
        </is>
      </c>
      <c r="D24" s="3" t="inlineStr">
        <is>
          <t>Que setor cuida da cerimônia de formatura dos alunos?</t>
        </is>
      </c>
      <c r="E24" s="3" t="inlineStr">
        <is>
          <t>O Núcleo de Relações Públicas coordena o cerimonial das colações de grau, com apoio do Núcleo de Eventos.</t>
        </is>
      </c>
      <c r="F24" s="3" t="inlineStr">
        <is>
          <t>29217ad4-31df-3f29-92f7-17dce8488351</t>
        </is>
      </c>
      <c r="G24" s="3" t="inlineStr">
        <is>
          <t>Trechos: Regimento_Interno_-_Reitoria (trecho 20)</t>
        </is>
      </c>
    </row>
    <row r="25">
      <c r="A25" s="3" t="inlineStr">
        <is>
          <t>P24</t>
        </is>
      </c>
      <c r="B25" s="3" t="inlineStr">
        <is>
          <t>literal</t>
        </is>
      </c>
      <c r="C25" s="3" t="inlineStr">
        <is>
          <t>Regulamentos acadêmicos</t>
        </is>
      </c>
      <c r="D25" s="3" t="inlineStr">
        <is>
          <t>Qual é a frequência mínima exigida em cada disciplina dos cursos de graduação?</t>
        </is>
      </c>
      <c r="E25" s="3" t="inlineStr">
        <is>
          <t>75% da carga horária total da disciplina.</t>
        </is>
      </c>
      <c r="F25" s="3" t="inlineStr">
        <is>
          <t>3153a54d-f72d-3893-85dc-51eca8db8832; 64886e80-0dcd-3672-9b22-00895a561edb</t>
        </is>
      </c>
      <c r="G25" s="3" t="inlineStr">
        <is>
          <t>Trechos: REGULAMENTO_DOS_CURSOS_DE_GRADUAO (trecho 32); REGULAMENTO_DOS_CURSOS_DE_GRADUAO (trecho 38)</t>
        </is>
      </c>
    </row>
    <row r="26">
      <c r="A26" s="3" t="inlineStr">
        <is>
          <t>P25</t>
        </is>
      </c>
      <c r="B26" s="3" t="inlineStr">
        <is>
          <t>literal</t>
        </is>
      </c>
      <c r="C26" s="3" t="inlineStr">
        <is>
          <t>Regulamentos acadêmicos</t>
        </is>
      </c>
      <c r="D26" s="3" t="inlineStr">
        <is>
          <t>Qual o prazo para o estudante requerer avaliação de segunda chamada?</t>
        </is>
      </c>
      <c r="E26" s="3" t="inlineStr">
        <is>
          <t>Até 3 dias letivos a contar do retorno às atividades acadêmicas, na Coordenação de Registros Acadêmicos.</t>
        </is>
      </c>
      <c r="F26" s="3" t="inlineStr">
        <is>
          <t>43641c07-e2db-3cd4-a42e-b4722671d973</t>
        </is>
      </c>
      <c r="G26" s="3" t="inlineStr">
        <is>
          <t>Trechos: REGULAMENTO_DOS_CURSOS_DE_GRADUAO (trecho 39)</t>
        </is>
      </c>
    </row>
    <row r="27">
      <c r="A27" s="3" t="inlineStr">
        <is>
          <t>P26</t>
        </is>
      </c>
      <c r="B27" s="3" t="inlineStr">
        <is>
          <t>literal</t>
        </is>
      </c>
      <c r="C27" s="3" t="inlineStr">
        <is>
          <t>Regulamentos acadêmicos</t>
        </is>
      </c>
      <c r="D27" s="3" t="inlineStr">
        <is>
          <t>Qual a pontuação mínima para o candidato ser classificado na seleção de monitoria?</t>
        </is>
      </c>
      <c r="E27" s="3" t="inlineStr">
        <is>
          <t>18 dos 30 pontos possíveis (soma das notas do histórico, da entrevista e da disciplina).</t>
        </is>
      </c>
      <c r="F27" s="3" t="inlineStr">
        <is>
          <t>c7aaf7f7-3556-3cf7-b08e-31c8670bfb2c</t>
        </is>
      </c>
      <c r="G27" s="3" t="inlineStr">
        <is>
          <t>Trechos: Regulamento_de_Monitoria_2025 (trecho 4)</t>
        </is>
      </c>
    </row>
    <row r="28">
      <c r="A28" s="3" t="inlineStr">
        <is>
          <t>P27</t>
        </is>
      </c>
      <c r="B28" s="3" t="inlineStr">
        <is>
          <t>literal</t>
        </is>
      </c>
      <c r="C28" s="3" t="inlineStr">
        <is>
          <t>Regulamentos acadêmicos</t>
        </is>
      </c>
      <c r="D28" s="3" t="inlineStr">
        <is>
          <t>Qual é a carga horária semanal da monitoria?</t>
        </is>
      </c>
      <c r="E28" s="3" t="inlineStr">
        <is>
          <t>Entre 8 e 20 horas semanais, fora do horário das aulas do estudante.</t>
        </is>
      </c>
      <c r="F28" s="3" t="inlineStr">
        <is>
          <t>4106284a-c225-3c64-98fd-9a796190f594</t>
        </is>
      </c>
      <c r="G28" s="3" t="inlineStr">
        <is>
          <t>Trechos: Regulamento_de_Monitoria_2025 (trecho 1)</t>
        </is>
      </c>
    </row>
    <row r="29">
      <c r="A29" s="3" t="inlineStr">
        <is>
          <t>P28</t>
        </is>
      </c>
      <c r="B29" s="3" t="inlineStr">
        <is>
          <t>parafrase</t>
        </is>
      </c>
      <c r="C29" s="3" t="inlineStr">
        <is>
          <t>Regulamentos acadêmicos</t>
        </is>
      </c>
      <c r="D29" s="3" t="inlineStr">
        <is>
          <t>Fechei o semestre com nota 4,5 e não faltei às aulas. Ainda dá para passar na matéria?</t>
        </is>
      </c>
      <c r="E29" s="3" t="inlineStr">
        <is>
          <t>Sim: com nota final entre 3,0 e 6,0 e frequência mínima de 75%, o estudante faz a Avaliação Final (AF); a média final é a média entre a nota final e a AF.</t>
        </is>
      </c>
      <c r="F29" s="3" t="inlineStr">
        <is>
          <t>64886e80-0dcd-3672-9b22-00895a561edb</t>
        </is>
      </c>
      <c r="G29" s="3" t="inlineStr">
        <is>
          <t>Trechos: REGULAMENTO_DOS_CURSOS_DE_GRADUAO (trecho 38)</t>
        </is>
      </c>
    </row>
    <row r="30">
      <c r="A30" s="3" t="inlineStr">
        <is>
          <t>P29</t>
        </is>
      </c>
      <c r="B30" s="3" t="inlineStr">
        <is>
          <t>parafrase</t>
        </is>
      </c>
      <c r="C30" s="3" t="inlineStr">
        <is>
          <t>Regulamentos acadêmicos</t>
        </is>
      </c>
      <c r="D30" s="3" t="inlineStr">
        <is>
          <t>Reprovei por nota numa matéria que não vai ser oferecida num horário compatível comigo. Tenho outra forma de refazê-la?</t>
        </is>
      </c>
      <c r="E30" s="3" t="inlineStr">
        <is>
          <t>Pode cursá-la em outro curso do IF Goiano com aproveitamento de estudos ou, se não for possível, em regime de dependência (turma especial, via AVA, no máximo 2 disciplinas por período).</t>
        </is>
      </c>
      <c r="F30" s="3" t="inlineStr">
        <is>
          <t>64886e80-0dcd-3672-9b22-00895a561edb; 43641c07-e2db-3cd4-a42e-b4722671d973</t>
        </is>
      </c>
      <c r="G30" s="3" t="inlineStr">
        <is>
          <t>Trechos: REGULAMENTO_DOS_CURSOS_DE_GRADUAO (trecho 38); REGULAMENTO_DOS_CURSOS_DE_GRADUAO (trecho 39)</t>
        </is>
      </c>
    </row>
    <row r="31">
      <c r="A31" s="3" t="inlineStr">
        <is>
          <t>P30</t>
        </is>
      </c>
      <c r="B31" s="3" t="inlineStr">
        <is>
          <t>parafrase</t>
        </is>
      </c>
      <c r="C31" s="3" t="inlineStr">
        <is>
          <t>Regulamentos acadêmicos</t>
        </is>
      </c>
      <c r="D31" s="3" t="inlineStr">
        <is>
          <t>Estou grávida e vou precisar ficar longe das aulas presenciais. Posso continuar o curso de casa?</t>
        </is>
      </c>
      <c r="E31" s="3" t="inlineStr">
        <is>
          <t>Sim, pelo regime de exercícios domiciliares: 3 meses a partir do 8º mês de gestação, requerido na Coordenação de Registros Acadêmicos com laudo médico.</t>
        </is>
      </c>
      <c r="F31" s="3" t="inlineStr">
        <is>
          <t>eb0f1ab6-343f-30b9-8e20-c6ea124ec704; bbf14c2d-d2b3-35f9-aa56-6415fa56add5</t>
        </is>
      </c>
      <c r="G31" s="3" t="inlineStr">
        <is>
          <t>Trechos: REGULAMENTO_DOS_CURSOS_DE_GRADUAO (trecho 33); REGULAMENTO_DOS_CURSOS_DE_GRADUAO (trecho 34)</t>
        </is>
      </c>
    </row>
    <row r="32">
      <c r="A32" s="3" t="inlineStr">
        <is>
          <t>P31</t>
        </is>
      </c>
      <c r="B32" s="3" t="inlineStr">
        <is>
          <t>parafrase</t>
        </is>
      </c>
      <c r="C32" s="3" t="inlineStr">
        <is>
          <t>Regulamentos acadêmicos</t>
        </is>
      </c>
      <c r="D32" s="3" t="inlineStr">
        <is>
          <t>Sou monitor. Posso corrigir as provas da turma no lugar do professor?</t>
        </is>
      </c>
      <c r="E32" s="3" t="inlineStr">
        <is>
          <t>Não. Elaborar e corrigir provas, controlar a frequência e reger a turma são atividades exclusivas do docente.</t>
        </is>
      </c>
      <c r="F32" s="3" t="inlineStr">
        <is>
          <t>4106284a-c225-3c64-98fd-9a796190f594</t>
        </is>
      </c>
      <c r="G32" s="3" t="inlineStr">
        <is>
          <t>Trechos: Regulamento_de_Monitoria_2025 (trecho 1)</t>
        </is>
      </c>
    </row>
    <row r="33">
      <c r="A33" s="3" t="inlineStr">
        <is>
          <t>P32</t>
        </is>
      </c>
      <c r="B33" s="3" t="inlineStr">
        <is>
          <t>literal</t>
        </is>
      </c>
      <c r="C33" s="3" t="inlineStr">
        <is>
          <t>Diárias e passagens</t>
        </is>
      </c>
      <c r="D33" s="3" t="inlineStr">
        <is>
          <t>Qual é o prazo para a prestação de contas de uma viagem nacional no SCDP?</t>
        </is>
      </c>
      <c r="E33" s="3" t="inlineStr">
        <is>
          <t>Até 5 dias corridos, contados do retorno da viagem (conclusão da missão).</t>
        </is>
      </c>
      <c r="F33" s="3" t="inlineStr">
        <is>
          <t>d210a87d-5703-3c73-9eda-fc817ffdcb3c; 6a8cd507-8f07-35e8-8718-13fd1fae62dd; 120b602d-ff54-39b3-89e7-35895960138d</t>
        </is>
      </c>
      <c r="G33" s="3" t="inlineStr">
        <is>
          <t>Trechos: Manual_SCDP (trecho 11); Manual_SCDP (trecho 37); Manual_SCDP (trecho 39)</t>
        </is>
      </c>
    </row>
    <row r="34">
      <c r="A34" s="3" t="inlineStr">
        <is>
          <t>P33</t>
        </is>
      </c>
      <c r="B34" s="3" t="inlineStr">
        <is>
          <t>literal</t>
        </is>
      </c>
      <c r="C34" s="3" t="inlineStr">
        <is>
          <t>Diárias e passagens</t>
        </is>
      </c>
      <c r="D34" s="3" t="inlineStr">
        <is>
          <t>Estagiários e bolsistas podem receber diárias?</t>
        </is>
      </c>
      <c r="E34" s="3" t="inlineStr">
        <is>
          <t>Não. Terceirizados, estagiários e bolsistas não podem receber diárias.</t>
        </is>
      </c>
      <c r="F34" s="3" t="inlineStr">
        <is>
          <t>6563326f-a8c3-3fcc-ba17-74ed80abf2d2</t>
        </is>
      </c>
      <c r="G34" s="3" t="inlineStr">
        <is>
          <t>Trechos: Manual_SCDP (trecho 3)</t>
        </is>
      </c>
    </row>
    <row r="35">
      <c r="A35" s="3" t="inlineStr">
        <is>
          <t>P34</t>
        </is>
      </c>
      <c r="B35" s="3" t="inlineStr">
        <is>
          <t>literal</t>
        </is>
      </c>
      <c r="C35" s="3" t="inlineStr">
        <is>
          <t>Diárias e passagens</t>
        </is>
      </c>
      <c r="D35" s="3" t="inlineStr">
        <is>
          <t>Quais selos de confiabilidade da conta gov.br permitem acessar o SCDP?</t>
        </is>
      </c>
      <c r="E35" s="3" t="inlineStr">
        <is>
          <t>Prata e ouro; o ouro é exigido para os perfis de Proponente, Autoridade Superior e Ordenador de despesas.</t>
        </is>
      </c>
      <c r="F35" s="3" t="inlineStr">
        <is>
          <t>f1473c25-b204-3f67-8993-82758776028c</t>
        </is>
      </c>
      <c r="G35" s="3" t="inlineStr">
        <is>
          <t>Trechos: Manual_SCDP (trecho 10)</t>
        </is>
      </c>
    </row>
    <row r="36">
      <c r="A36" s="3" t="inlineStr">
        <is>
          <t>P35</t>
        </is>
      </c>
      <c r="B36" s="3" t="inlineStr">
        <is>
          <t>literal</t>
        </is>
      </c>
      <c r="C36" s="3" t="inlineStr">
        <is>
          <t>Diárias e passagens</t>
        </is>
      </c>
      <c r="D36" s="3" t="inlineStr">
        <is>
          <t>Qual centro de custos deve ser informado ao refazer a execução financeira de uma PCDP de exercícios anteriores no SCDP?</t>
        </is>
      </c>
      <c r="E36" s="3" t="inlineStr">
        <is>
          <t>CC-GENÉRICO.</t>
        </is>
      </c>
      <c r="F36" s="3" t="inlineStr">
        <is>
          <t>5883369e-7137-3cc1-8886-77feafa654af; 6cc7fd16-4af6-322d-b55f-7cd337005b8f; 06fe540c-a9a2-3f01-abb2-7ed247a4330e</t>
        </is>
      </c>
      <c r="G36" s="3" t="inlineStr">
        <is>
          <t>Trechos: Tutorial_para_cancelamento_de_execução_financeira_no_SCDP_de_PCDP_de (trecho 1); artigo_conhecimento (trecho 5); Manual_SCDP (trecho 34)</t>
        </is>
      </c>
    </row>
    <row r="37">
      <c r="A37" s="3" t="inlineStr">
        <is>
          <t>P36</t>
        </is>
      </c>
      <c r="B37" s="3" t="inlineStr">
        <is>
          <t>parafrase</t>
        </is>
      </c>
      <c r="C37" s="3" t="inlineStr">
        <is>
          <t>Diárias e passagens</t>
        </is>
      </c>
      <c r="D37" s="3" t="inlineStr">
        <is>
          <t>Preciso ir trabalhar num município vizinho, na mesma área urbana da minha cidade, e volto antes de anoitecer. Tenho direito a algum valor para as despesas da viagem?</t>
        </is>
      </c>
      <c r="E37" s="3" t="inlineStr">
        <is>
          <t>Não: não são pagas diárias em deslocamentos dentro da mesma região metropolitana, aglomeração urbana ou microrregião, salvo se houver pernoite fora da sede.</t>
        </is>
      </c>
      <c r="F37" s="3" t="inlineStr">
        <is>
          <t>9fb074bb-4837-34f8-a3c5-9ffb0895f88e</t>
        </is>
      </c>
      <c r="G37" s="3" t="inlineStr">
        <is>
          <t>Trechos: Manual_SCDP (trecho 4)</t>
        </is>
      </c>
    </row>
    <row r="38">
      <c r="A38" s="3" t="inlineStr">
        <is>
          <t>P37</t>
        </is>
      </c>
      <c r="B38" s="3" t="inlineStr">
        <is>
          <t>parafrase</t>
        </is>
      </c>
      <c r="C38" s="3" t="inlineStr">
        <is>
          <t>Diárias e passagens</t>
        </is>
      </c>
      <c r="D38" s="3" t="inlineStr">
        <is>
          <t>Participei de um congresso fora do Brasil a serviço. Quanto tempo tenho para entregar os comprovantes?</t>
        </is>
      </c>
      <c r="E38" s="3" t="inlineStr">
        <is>
          <t>30 dias, contados da conclusão da missão, com relatório de viagem, cartões de embarque e documentos do evento.</t>
        </is>
      </c>
      <c r="F38" s="3" t="inlineStr">
        <is>
          <t>6a8cd507-8f07-35e8-8718-13fd1fae62dd</t>
        </is>
      </c>
      <c r="G38" s="3" t="inlineStr">
        <is>
          <t>Trechos: Manual_SCDP (trecho 37)</t>
        </is>
      </c>
    </row>
    <row r="39">
      <c r="A39" s="3" t="inlineStr">
        <is>
          <t>P38</t>
        </is>
      </c>
      <c r="B39" s="3" t="inlineStr">
        <is>
          <t>parafrase</t>
        </is>
      </c>
      <c r="C39" s="3" t="inlineStr">
        <is>
          <t>Diárias e passagens</t>
        </is>
      </c>
      <c r="D39" s="3" t="inlineStr">
        <is>
          <t>Fui de ônibus a um evento a trabalho e paguei a passagem do meu bolso. Como recebo esse dinheiro de volta?</t>
        </is>
      </c>
      <c r="E39" s="3" t="inlineStr">
        <is>
          <t>Na prestação de contas: anexar ao processo da diária o comprovante de compra, os bilhetes e o relatório de viagem; o processo vai para anuência do Reitor ou do Diretor-Geral e o solicitante registra o gasto no SCDP para o ressarcimento.</t>
        </is>
      </c>
      <c r="F39" s="3" t="inlineStr">
        <is>
          <t>6a8cd507-8f07-35e8-8718-13fd1fae62dd; 57b04b4c-4de9-3cbf-9236-26b0900a4a17</t>
        </is>
      </c>
      <c r="G39" s="3" t="inlineStr">
        <is>
          <t>Trechos: Manual_SCDP (trecho 37); Manual_SCDP (trecho 40)</t>
        </is>
      </c>
    </row>
    <row r="40">
      <c r="A40" s="3" t="inlineStr">
        <is>
          <t>P39</t>
        </is>
      </c>
      <c r="B40" s="3" t="inlineStr">
        <is>
          <t>literal</t>
        </is>
      </c>
      <c r="C40" s="3" t="inlineStr">
        <is>
          <t>Tecnologia da informação</t>
        </is>
      </c>
      <c r="D40" s="3" t="inlineStr">
        <is>
          <t>O que é phishing?</t>
        </is>
      </c>
      <c r="E40" s="3" t="inlineStr">
        <is>
          <t>Fraude em que um golpista tenta obter dados pessoais e financeiros do usuário combinando meios técnicos e engenharia social, geralmente com mensagens que se passam por instituições conhecidas.</t>
        </is>
      </c>
      <c r="F40" s="3" t="inlineStr">
        <is>
          <t>eb436da1-563e-3c67-8c88-0321d89e760e</t>
        </is>
      </c>
      <c r="G40" s="3" t="inlineStr">
        <is>
          <t>Trechos: Campanha_de_conscientização_sobre_fishing (trecho 0)</t>
        </is>
      </c>
    </row>
    <row r="41">
      <c r="A41" s="3" t="inlineStr">
        <is>
          <t>P40</t>
        </is>
      </c>
      <c r="B41" s="3" t="inlineStr">
        <is>
          <t>literal</t>
        </is>
      </c>
      <c r="C41" s="3" t="inlineStr">
        <is>
          <t>Tecnologia da informação</t>
        </is>
      </c>
      <c r="D41" s="3" t="inlineStr">
        <is>
          <t>Para qual e-mail devem ser comunicadas as denúncias de violação da Política de Segurança da Informação?</t>
        </is>
      </c>
      <c r="E41" s="3" t="inlineStr">
        <is>
          <t>sec.ti@ifgoiano.edu.br, do Gestor de Segurança da Informação.</t>
        </is>
      </c>
      <c r="F41" s="3" t="inlineStr">
        <is>
          <t>6e9e6f50-c704-397a-813b-4ad6fb6621b2</t>
        </is>
      </c>
      <c r="G41" s="3" t="inlineStr">
        <is>
          <t>Trechos: PSI (trecho 6)</t>
        </is>
      </c>
    </row>
    <row r="42">
      <c r="A42" s="3" t="inlineStr">
        <is>
          <t>P41</t>
        </is>
      </c>
      <c r="B42" s="3" t="inlineStr">
        <is>
          <t>parafrase</t>
        </is>
      </c>
      <c r="C42" s="3" t="inlineStr">
        <is>
          <t>Tecnologia da informação</t>
        </is>
      </c>
      <c r="D42" s="3" t="inlineStr">
        <is>
          <t>Recebi uma mensagem dizendo que minha caixa de correio está cheia e pedindo meu usuário e senha para regularizar. O que devo fazer?</t>
        </is>
      </c>
      <c r="E42" s="3" t="inlineStr">
        <is>
          <t>Tratar como golpe (phishing do tipo recadastramento de e-mail): não fornecer os dados, desconfiar de mensagens que pressionam e verificar o endereço real do link.</t>
        </is>
      </c>
      <c r="F42" s="3" t="inlineStr">
        <is>
          <t>c6cfeb97-4352-37e3-9051-f3f60d92024e; 2cd6a4bc-d3a8-342f-afcf-3f43f14e79f1; df3a0958-5dad-3cd7-88f7-5ff5e8695c89</t>
        </is>
      </c>
      <c r="G42" s="3" t="inlineStr">
        <is>
          <t>Trechos: Campanha_de_conscientização_sobre_fishing (trecho 1); Campanha_de_conscientização_sobre_fishing (trecho 2); Campanha_de_conscientização_sobre_fishing (trecho 3)</t>
        </is>
      </c>
    </row>
    <row r="43">
      <c r="A43" s="3" t="inlineStr">
        <is>
          <t>P42</t>
        </is>
      </c>
      <c r="B43" s="3" t="inlineStr">
        <is>
          <t>parafrase</t>
        </is>
      </c>
      <c r="C43" s="3" t="inlineStr">
        <is>
          <t>Tecnologia da informação</t>
        </is>
      </c>
      <c r="D43" s="3" t="inlineStr">
        <is>
          <t>Um servidor deve ter acesso a todos os sistemas da instituição, mesmo aos que não usa no trabalho?</t>
        </is>
      </c>
      <c r="E43" s="3" t="inlineStr">
        <is>
          <t>Não. Pessoas e sistemas devem ter o menor privilégio e o mínimo acesso necessário para suas tarefas.</t>
        </is>
      </c>
      <c r="F43" s="3" t="inlineStr">
        <is>
          <t>870bdf08-6637-33c2-8fa0-5515d9f69fca; 4eb682dd-35d3-34fa-9ccd-d0b9be350bb0</t>
        </is>
      </c>
      <c r="G43" s="3" t="inlineStr">
        <is>
          <t>Trechos: PSI (trecho 2); PSI (trecho 3)</t>
        </is>
      </c>
    </row>
    <row r="44">
      <c r="A44" s="3" t="inlineStr">
        <is>
          <t>P43</t>
        </is>
      </c>
      <c r="B44" s="3" t="inlineStr">
        <is>
          <t>parafrase</t>
        </is>
      </c>
      <c r="C44" s="3" t="inlineStr">
        <is>
          <t>Tecnologia da informação</t>
        </is>
      </c>
      <c r="D44" s="3" t="inlineStr">
        <is>
          <t>Posso usar meu endereço de correio do instituto para assuntos particulares?</t>
        </is>
      </c>
      <c r="E44" s="3" t="inlineStr">
        <is>
          <t>Sim, o uso pessoal é permitido, mas não priorizado, desde que não prejudique outros usuários, o sistema de mensagens ou as atividades e não viole normas.</t>
        </is>
      </c>
      <c r="F44" s="3" t="inlineStr">
        <is>
          <t>ea76c22d-80bd-31f8-8e35-8b29dff15992; cc5dc76f-4729-3d0c-bad3-9f7781290401</t>
        </is>
      </c>
      <c r="G44" s="3" t="inlineStr">
        <is>
          <t>Trechos: Norma_04_-_Norma_de_Uso_do_Correio_Eletrônico_Institucional (trecho 2); Norma_04_-_Norma_de_Uso_do_Correio_Eletrônico_Institucional (trecho 3)</t>
        </is>
      </c>
    </row>
    <row r="45">
      <c r="A45" s="3" t="inlineStr">
        <is>
          <t>P44</t>
        </is>
      </c>
      <c r="B45" s="3" t="inlineStr">
        <is>
          <t>literal</t>
        </is>
      </c>
      <c r="C45" s="3" t="inlineStr">
        <is>
          <t>Instrução Normativa nº 1</t>
        </is>
      </c>
      <c r="D45" s="3" t="inlineStr">
        <is>
          <t>Como deve ser feita a solicitação de suporte ao usuário de TIC?</t>
        </is>
      </c>
      <c r="E45" s="3" t="inlineStr">
        <is>
          <t>Por abertura de chamado na central de serviços do SUAP.</t>
        </is>
      </c>
      <c r="F45" s="3" t="inlineStr">
        <is>
          <t>605b073a-927e-326a-8256-9ab121b82490</t>
        </is>
      </c>
      <c r="G45" s="3" t="inlineStr">
        <is>
          <t>Trechos: IN_0001-IFGOIANO (trecho 2)</t>
        </is>
      </c>
    </row>
    <row r="46">
      <c r="A46" s="3" t="inlineStr">
        <is>
          <t>P45</t>
        </is>
      </c>
      <c r="B46" s="3" t="inlineStr">
        <is>
          <t>literal</t>
        </is>
      </c>
      <c r="C46" s="3" t="inlineStr">
        <is>
          <t>Instrução Normativa nº 1</t>
        </is>
      </c>
      <c r="D46" s="3" t="inlineStr">
        <is>
          <t>Quem é responsável pelo backup dos arquivos guardados nas estações de trabalho?</t>
        </is>
      </c>
      <c r="E46" s="3" t="inlineStr">
        <is>
          <t>O próprio usuário de TIC; o setor de TIC não se responsabiliza por esses arquivos.</t>
        </is>
      </c>
      <c r="F46" s="3" t="inlineStr">
        <is>
          <t>25c98277-c4ac-3866-bc33-5e9680f8337e; 605b073a-927e-326a-8256-9ab121b82490</t>
        </is>
      </c>
      <c r="G46" s="3" t="inlineStr">
        <is>
          <t>Trechos: IN_0001-IFGOIANO (trecho 1); IN_0001-IFGOIANO (trecho 2)</t>
        </is>
      </c>
    </row>
    <row r="47">
      <c r="A47" s="3" t="inlineStr">
        <is>
          <t>P46</t>
        </is>
      </c>
      <c r="B47" s="3" t="inlineStr">
        <is>
          <t>parafrase</t>
        </is>
      </c>
      <c r="C47" s="3" t="inlineStr">
        <is>
          <t>Instrução Normativa nº 1</t>
        </is>
      </c>
      <c r="D47" s="3" t="inlineStr">
        <is>
          <t>Posso instalar um aparelho meu para multiplicar as conexões de rede na minha sala?</t>
        </is>
      </c>
      <c r="E47" s="3" t="inlineStr">
        <is>
          <t>Não. É proibido usar equipamentos de rede (switches, roteadores, hubs) para ampliar os pontos de acesso.</t>
        </is>
      </c>
      <c r="F47" s="3" t="inlineStr">
        <is>
          <t>0eeabf28-4b8c-3c3f-a430-87884651a268</t>
        </is>
      </c>
      <c r="G47" s="3" t="inlineStr">
        <is>
          <t>Trechos: IN_0001-IFGOIANO (trecho 3)</t>
        </is>
      </c>
    </row>
    <row r="48">
      <c r="A48" s="3" t="inlineStr">
        <is>
          <t>P47</t>
        </is>
      </c>
      <c r="B48" s="3" t="inlineStr">
        <is>
          <t>literal</t>
        </is>
      </c>
      <c r="C48" s="3" t="inlineStr">
        <is>
          <t>Base relacional</t>
        </is>
      </c>
      <c r="D48" s="3" t="inlineStr">
        <is>
          <t>Quantos caracteres a senha dos sistemas do IF Goiano deve ter no mínimo?</t>
        </is>
      </c>
      <c r="E48" s="3" t="inlineStr">
        <is>
          <t>Oito caracteres, usando pelo menos três de quatro critérios: números, letras minúsculas, letras maiúsculas e caracteres especiais.</t>
        </is>
      </c>
      <c r="F48" s="3" t="inlineStr">
        <is>
          <t>074ddbbd-c8a1-3e65-acf9-74cbfee4a95b; 97e45126-4035-3901-950a-58fec6263f8a</t>
        </is>
      </c>
      <c r="G48" s="3" t="inlineStr">
        <is>
          <t>Trechos: artigo_conhecimento (trecho 2); Norma_03_-_Norma_de_Gestão_de_Senhas (trecho 1)</t>
        </is>
      </c>
    </row>
    <row r="49">
      <c r="A49" s="3" t="inlineStr">
        <is>
          <t>P48</t>
        </is>
      </c>
      <c r="B49" s="3" t="inlineStr">
        <is>
          <t>parafrase</t>
        </is>
      </c>
      <c r="C49" s="3" t="inlineStr">
        <is>
          <t>Base relacional</t>
        </is>
      </c>
      <c r="D49" s="3" t="inlineStr">
        <is>
          <t>De quanto em quanto tempo sou obrigado a criar uma nova credencial de acesso?</t>
        </is>
      </c>
      <c r="E49" s="3" t="inlineStr">
        <is>
          <t>No máximo a cada seis meses, e imediatamente se houver suspeita de violação.</t>
        </is>
      </c>
      <c r="F49" s="3" t="inlineStr">
        <is>
          <t>074ddbbd-c8a1-3e65-acf9-74cbfee4a95b; 97e45126-4035-3901-950a-58fec6263f8a</t>
        </is>
      </c>
      <c r="G49" s="3" t="inlineStr">
        <is>
          <t>Trechos: artigo_conhecimento (trecho 2); Norma_03_-_Norma_de_Gestão_de_Senhas (trecho 1)</t>
        </is>
      </c>
    </row>
    <row r="50">
      <c r="A50" s="3" t="inlineStr">
        <is>
          <t>P49</t>
        </is>
      </c>
      <c r="B50" s="3" t="inlineStr">
        <is>
          <t>parafrase</t>
        </is>
      </c>
      <c r="C50" s="3" t="inlineStr">
        <is>
          <t>Base relacional</t>
        </is>
      </c>
      <c r="D50" s="3" t="inlineStr">
        <is>
          <t>Fui transferido de cidade por decisão da administração e precisei me mudar. O instituto paga alguma coisa pela mudança?</t>
        </is>
      </c>
      <c r="E50" s="3" t="inlineStr">
        <is>
          <t>Sim, a ajuda de custo, que compensa despesas de viagem, mudança e instalação quando há mudança de domicílio permanente no interesse da administração; o pedido é feito por processo no SUAP.</t>
        </is>
      </c>
      <c r="F50" s="3" t="inlineStr">
        <is>
          <t>73dd57c2-30c9-33be-8b68-9f7135926a50; 33db4aff-fecc-338d-a730-d9eadf4eb8c1; 284f1ba9-b840-3d55-8349-485cd7a58b5d</t>
        </is>
      </c>
      <c r="G50" s="3" t="inlineStr">
        <is>
          <t>Trechos: artigo_conhecimento (trecho 4); Ajuda_de_Custo (trecho 0); Ajuda_de_Custo (trecho 1)</t>
        </is>
      </c>
    </row>
    <row r="51">
      <c r="A51" s="3" t="inlineStr">
        <is>
          <t>P50</t>
        </is>
      </c>
      <c r="B51" s="3" t="inlineStr">
        <is>
          <t>parafrase</t>
        </is>
      </c>
      <c r="C51" s="3" t="inlineStr">
        <is>
          <t>Base relacional</t>
        </is>
      </c>
      <c r="D51" s="3" t="inlineStr">
        <is>
          <t>Vou trabalhar de ônibus intermunicipal todos os dias. Existe algum benefício que ajude a pagar essas passagens?</t>
        </is>
      </c>
      <c r="E51" s="3" t="inlineStr">
        <is>
          <t>Sim, o auxílio-transporte, quando a despesa mensal supera 6% do vencimento básico; é pedido no SouGov, com a Declaração de Horário enviada à Gestão de Pessoas.</t>
        </is>
      </c>
      <c r="F51" s="3" t="inlineStr">
        <is>
          <t>12605cea-b979-3bac-8779-05bbe8f86a58; 984d82e0-f195-3b82-a4af-e239d75c6d38; f8fc5c3d-c4b6-3c8d-b2fc-d58963056fc3</t>
        </is>
      </c>
      <c r="G51" s="3" t="inlineStr">
        <is>
          <t>Trechos: artigo_conhecimento (trecho 1); REAUXÍLIO_TRANSPORTE_E_DECLARAÇÃO_DE_HORÁRIO (trecho 0); REAUXÍLIO_TRANSPORTE_E_DECLARAÇÃO_DE_HORÁRIO (trecho 1)</t>
        </is>
      </c>
    </row>
    <row r="52">
      <c r="A52" s="3" t="inlineStr">
        <is>
          <t>P51</t>
        </is>
      </c>
      <c r="B52" s="3" t="inlineStr">
        <is>
          <t>sem_resposta</t>
        </is>
      </c>
      <c r="C52" s="3" t="inlineStr">
        <is>
          <t>Sem resposta</t>
        </is>
      </c>
      <c r="D52" s="3" t="inlineStr">
        <is>
          <t>Qual é o valor mensal do auxílio-alimentação pago aos servidores do IF Goiano?</t>
        </is>
      </c>
      <c r="E52" s="3" t="n"/>
      <c r="F52" s="3" t="n"/>
      <c r="G52" s="3" t="inlineStr">
        <is>
          <t>Confirmado: a resposta não aparece em nenhum dos 327 trechos</t>
        </is>
      </c>
    </row>
    <row r="53">
      <c r="A53" s="3" t="inlineStr">
        <is>
          <t>P52</t>
        </is>
      </c>
      <c r="B53" s="3" t="inlineStr">
        <is>
          <t>sem_resposta</t>
        </is>
      </c>
      <c r="C53" s="3" t="inlineStr">
        <is>
          <t>Sem resposta</t>
        </is>
      </c>
      <c r="D53" s="3" t="inlineStr">
        <is>
          <t>Quantos dias de licença-paternidade o servidor tem direito?</t>
        </is>
      </c>
      <c r="E53" s="3" t="n"/>
      <c r="F53" s="3" t="n"/>
      <c r="G53" s="3" t="inlineStr">
        <is>
          <t>Confirmado: a resposta não aparece em nenhum dos 327 trechos</t>
        </is>
      </c>
    </row>
    <row r="54">
      <c r="A54" s="3" t="inlineStr">
        <is>
          <t>P53</t>
        </is>
      </c>
      <c r="B54" s="3" t="inlineStr">
        <is>
          <t>sem_resposta</t>
        </is>
      </c>
      <c r="C54" s="3" t="inlineStr">
        <is>
          <t>Sem resposta</t>
        </is>
      </c>
      <c r="D54" s="3" t="inlineStr">
        <is>
          <t>Qual é a senha da rede Wi-Fi para visitantes no campus?</t>
        </is>
      </c>
      <c r="E54" s="3" t="n"/>
      <c r="F54" s="3" t="n"/>
      <c r="G54" s="3" t="inlineStr">
        <is>
          <t>Confirmado: a resposta não aparece em nenhum dos 327 trechos</t>
        </is>
      </c>
    </row>
    <row r="55">
      <c r="A55" s="3" t="inlineStr">
        <is>
          <t>P54</t>
        </is>
      </c>
      <c r="B55" s="3" t="inlineStr">
        <is>
          <t>sem_resposta</t>
        </is>
      </c>
      <c r="C55" s="3" t="inlineStr">
        <is>
          <t>Sem resposta</t>
        </is>
      </c>
      <c r="D55" s="3" t="inlineStr">
        <is>
          <t>Como o servidor solicita adesão ao programa de teletrabalho?</t>
        </is>
      </c>
      <c r="E55" s="3" t="n"/>
      <c r="F55" s="3" t="n"/>
      <c r="G55" s="3" t="inlineStr">
        <is>
          <t>Confirmado: a resposta não aparece em nenhum dos 327 trechos</t>
        </is>
      </c>
    </row>
    <row r="56">
      <c r="A56" s="3" t="inlineStr">
        <is>
          <t>P55</t>
        </is>
      </c>
      <c r="B56" s="3" t="inlineStr">
        <is>
          <t>sem_resposta</t>
        </is>
      </c>
      <c r="C56" s="3" t="inlineStr">
        <is>
          <t>Sem resposta</t>
        </is>
      </c>
      <c r="D56" s="3" t="inlineStr">
        <is>
          <t>Qual é o preço da refeição no restaurante estudantil?</t>
        </is>
      </c>
      <c r="E56" s="3" t="n"/>
      <c r="F56" s="3" t="n"/>
      <c r="G56" s="3" t="inlineStr">
        <is>
          <t>Confirmado: a resposta não aparece em nenhum dos 327 trechos</t>
        </is>
      </c>
    </row>
    <row r="57">
      <c r="A57" s="3" t="inlineStr">
        <is>
          <t>P56</t>
        </is>
      </c>
      <c r="B57" s="3" t="inlineStr">
        <is>
          <t>sem_resposta</t>
        </is>
      </c>
      <c r="C57" s="3" t="inlineStr">
        <is>
          <t>Sem resposta</t>
        </is>
      </c>
      <c r="D57" s="3" t="inlineStr">
        <is>
          <t>Qual é o percentual do adicional de insalubridade e como solicitá-lo?</t>
        </is>
      </c>
      <c r="E57" s="3" t="n"/>
      <c r="F57" s="3" t="n"/>
      <c r="G57" s="3" t="inlineStr">
        <is>
          <t>Confirmado: a resposta não aparece em nenhum dos 327 trechos</t>
        </is>
      </c>
    </row>
    <row r="58">
      <c r="A58" s="3" t="inlineStr">
        <is>
          <t>P57</t>
        </is>
      </c>
      <c r="B58" s="3" t="inlineStr">
        <is>
          <t>sem_resposta</t>
        </is>
      </c>
      <c r="C58" s="3" t="inlineStr">
        <is>
          <t>Sem resposta</t>
        </is>
      </c>
      <c r="D58" s="3" t="inlineStr">
        <is>
          <t>Qual é o prazo para devolver livros emprestados na biblioteca?</t>
        </is>
      </c>
      <c r="E58" s="3" t="n"/>
      <c r="F58" s="3" t="n"/>
      <c r="G58" s="3" t="inlineStr">
        <is>
          <t>Confirmado: a resposta não aparece em nenhum dos 327 trechos</t>
        </is>
      </c>
    </row>
    <row r="59">
      <c r="A59" s="3" t="inlineStr">
        <is>
          <t>P58</t>
        </is>
      </c>
      <c r="B59" s="3" t="inlineStr">
        <is>
          <t>sem_resposta</t>
        </is>
      </c>
      <c r="C59" s="3" t="inlineStr">
        <is>
          <t>Sem resposta</t>
        </is>
      </c>
      <c r="D59" s="3" t="inlineStr">
        <is>
          <t>Qual o valor por hora da Gratificação por Encargo de Curso ou Concurso (GECC)?</t>
        </is>
      </c>
      <c r="E59" s="3" t="n"/>
      <c r="F59" s="3" t="n"/>
      <c r="G59" s="3" t="inlineStr">
        <is>
          <t>Confirmado: a resposta não aparece em nenhum dos 327 trechos</t>
        </is>
      </c>
    </row>
    <row r="60">
      <c r="A60" s="3" t="inlineStr">
        <is>
          <t>P59</t>
        </is>
      </c>
      <c r="B60" s="3" t="inlineStr">
        <is>
          <t>sem_resposta</t>
        </is>
      </c>
      <c r="C60" s="3" t="inlineStr">
        <is>
          <t>Sem resposta</t>
        </is>
      </c>
      <c r="D60" s="3" t="inlineStr">
        <is>
          <t>Como funciona o pagamento de horas extras para os técnicos administrativos?</t>
        </is>
      </c>
      <c r="E60" s="3" t="n"/>
      <c r="F60" s="3" t="n"/>
      <c r="G60" s="3" t="inlineStr">
        <is>
          <t>Confirmado: a resposta não aparece em nenhum dos 327 trechos</t>
        </is>
      </c>
    </row>
    <row r="61">
      <c r="A61" s="3" t="inlineStr">
        <is>
          <t>P60</t>
        </is>
      </c>
      <c r="B61" s="3" t="inlineStr">
        <is>
          <t>sem_resposta</t>
        </is>
      </c>
      <c r="C61" s="3" t="inlineStr">
        <is>
          <t>Sem resposta</t>
        </is>
      </c>
      <c r="D61" s="3" t="inlineStr">
        <is>
          <t>Qual a duração do mandato do reitor do IF Goiano e como é feita a eleição?</t>
        </is>
      </c>
      <c r="E61" s="3" t="n"/>
      <c r="F61" s="3" t="n"/>
      <c r="G61" s="3" t="inlineStr">
        <is>
          <t>Confirmado: a resposta não aparece em nenhum dos 327 trechos</t>
        </is>
      </c>
    </row>
  </sheetData>
  <conditionalFormatting sqref="D2:E61">
    <cfRule type="expression" priority="1" dxfId="0">
      <formula>LEN(D2)=0</formula>
    </cfRule>
  </conditionalFormatting>
  <conditionalFormatting sqref="F2:F61">
    <cfRule type="expression" priority="2" dxfId="0">
      <formula>AND(LEN(F2)=0,$B2&lt;&gt;"sem_resposta")</formula>
    </cfRule>
  </conditionalFormatting>
  <dataValidations count="2">
    <dataValidation sqref="B2:B61" showDropDown="0" showInputMessage="0" showErrorMessage="0" allowBlank="0" type="list">
      <formula1>"literal,parafrase,sem_resposta"</formula1>
    </dataValidation>
    <dataValidation sqref="C2:C61" showDropDown="0" showInputMessage="0" showErrorMessage="0" allowBlank="0" type="list">
      <formula1>"Gestão de pessoas,Regimento interno,Regulamentos acadêmicos,Diárias e passagens,Tecnologia da informação,Instrução Normativa nº 1,Base relacional,Sem resposta"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2" t="inlineStr">
        <is>
          <t>area</t>
        </is>
      </c>
      <c r="B1" s="2" t="inlineStr">
        <is>
          <t>literal (meta)</t>
        </is>
      </c>
      <c r="C1" s="2" t="inlineStr">
        <is>
          <t>literal (escritas)</t>
        </is>
      </c>
      <c r="D1" s="2" t="inlineStr">
        <is>
          <t>parafrase (meta)</t>
        </is>
      </c>
      <c r="E1" s="2" t="inlineStr">
        <is>
          <t>parafrase (escritas)</t>
        </is>
      </c>
    </row>
    <row r="2">
      <c r="A2" t="inlineStr">
        <is>
          <t>Gestão de pessoas</t>
        </is>
      </c>
      <c r="B2" t="n">
        <v>7</v>
      </c>
      <c r="C2">
        <f>COUNTIFS(Perguntas!$C:$C,$A2,Perguntas!$B:$B,"literal",Perguntas!$D:$D,"&lt;&gt;")</f>
        <v/>
      </c>
      <c r="D2" t="n">
        <v>6</v>
      </c>
      <c r="E2">
        <f>COUNTIFS(Perguntas!$C:$C,$A2,Perguntas!$B:$B,"parafrase",Perguntas!$D:$D,"&lt;&gt;")</f>
        <v/>
      </c>
    </row>
    <row r="3">
      <c r="A3" t="inlineStr">
        <is>
          <t>Regimento interno</t>
        </is>
      </c>
      <c r="B3" t="n">
        <v>5</v>
      </c>
      <c r="C3">
        <f>COUNTIFS(Perguntas!$C:$C,$A3,Perguntas!$B:$B,"literal",Perguntas!$D:$D,"&lt;&gt;")</f>
        <v/>
      </c>
      <c r="D3" t="n">
        <v>5</v>
      </c>
      <c r="E3">
        <f>COUNTIFS(Perguntas!$C:$C,$A3,Perguntas!$B:$B,"parafrase",Perguntas!$D:$D,"&lt;&gt;")</f>
        <v/>
      </c>
    </row>
    <row r="4">
      <c r="A4" t="inlineStr">
        <is>
          <t>Regulamentos acadêmicos</t>
        </is>
      </c>
      <c r="B4" t="n">
        <v>4</v>
      </c>
      <c r="C4">
        <f>COUNTIFS(Perguntas!$C:$C,$A4,Perguntas!$B:$B,"literal",Perguntas!$D:$D,"&lt;&gt;")</f>
        <v/>
      </c>
      <c r="D4" t="n">
        <v>4</v>
      </c>
      <c r="E4">
        <f>COUNTIFS(Perguntas!$C:$C,$A4,Perguntas!$B:$B,"parafrase",Perguntas!$D:$D,"&lt;&gt;")</f>
        <v/>
      </c>
    </row>
    <row r="5">
      <c r="A5" t="inlineStr">
        <is>
          <t>Diárias e passagens</t>
        </is>
      </c>
      <c r="B5" t="n">
        <v>4</v>
      </c>
      <c r="C5">
        <f>COUNTIFS(Perguntas!$C:$C,$A5,Perguntas!$B:$B,"literal",Perguntas!$D:$D,"&lt;&gt;")</f>
        <v/>
      </c>
      <c r="D5" t="n">
        <v>3</v>
      </c>
      <c r="E5">
        <f>COUNTIFS(Perguntas!$C:$C,$A5,Perguntas!$B:$B,"parafrase",Perguntas!$D:$D,"&lt;&gt;")</f>
        <v/>
      </c>
    </row>
    <row r="6">
      <c r="A6" t="inlineStr">
        <is>
          <t>Tecnologia da informação</t>
        </is>
      </c>
      <c r="B6" t="n">
        <v>2</v>
      </c>
      <c r="C6">
        <f>COUNTIFS(Perguntas!$C:$C,$A6,Perguntas!$B:$B,"literal",Perguntas!$D:$D,"&lt;&gt;")</f>
        <v/>
      </c>
      <c r="D6" t="n">
        <v>3</v>
      </c>
      <c r="E6">
        <f>COUNTIFS(Perguntas!$C:$C,$A6,Perguntas!$B:$B,"parafrase",Perguntas!$D:$D,"&lt;&gt;")</f>
        <v/>
      </c>
    </row>
    <row r="7">
      <c r="A7" t="inlineStr">
        <is>
          <t>Instrução Normativa nº 1</t>
        </is>
      </c>
      <c r="B7" t="n">
        <v>2</v>
      </c>
      <c r="C7">
        <f>COUNTIFS(Perguntas!$C:$C,$A7,Perguntas!$B:$B,"literal",Perguntas!$D:$D,"&lt;&gt;")</f>
        <v/>
      </c>
      <c r="D7" t="n">
        <v>1</v>
      </c>
      <c r="E7">
        <f>COUNTIFS(Perguntas!$C:$C,$A7,Perguntas!$B:$B,"parafrase",Perguntas!$D:$D,"&lt;&gt;")</f>
        <v/>
      </c>
    </row>
    <row r="8">
      <c r="A8" t="inlineStr">
        <is>
          <t>Base relacional</t>
        </is>
      </c>
      <c r="B8" t="n">
        <v>1</v>
      </c>
      <c r="C8">
        <f>COUNTIFS(Perguntas!$C:$C,$A8,Perguntas!$B:$B,"literal",Perguntas!$D:$D,"&lt;&gt;")</f>
        <v/>
      </c>
      <c r="D8" t="n">
        <v>3</v>
      </c>
      <c r="E8">
        <f>COUNTIFS(Perguntas!$C:$C,$A8,Perguntas!$B:$B,"parafrase",Perguntas!$D:$D,"&lt;&gt;")</f>
        <v/>
      </c>
    </row>
    <row r="9">
      <c r="A9" t="inlineStr">
        <is>
          <t>Sem resposta</t>
        </is>
      </c>
      <c r="B9" t="n">
        <v>10</v>
      </c>
      <c r="C9">
        <f>COUNTIFS(Perguntas!$C:$C,$A9,Perguntas!$B:$B,"sem_resposta",Perguntas!$D:$D,"&lt;&gt;")</f>
        <v/>
      </c>
      <c r="D9" t="n">
        <v>0</v>
      </c>
      <c r="E9">
        <f>COUNTIFS(Perguntas!$C:$C,$A9,Perguntas!$B:$B,"parafrase",Perguntas!$D:$D,"&lt;&gt;")</f>
        <v/>
      </c>
    </row>
    <row r="10">
      <c r="A10" s="4" t="inlineStr">
        <is>
          <t>Total</t>
        </is>
      </c>
      <c r="B10" s="4">
        <f>SUM(B2:B9)</f>
        <v/>
      </c>
      <c r="C10" s="4">
        <f>SUM(C2:C9)</f>
        <v/>
      </c>
      <c r="D10" s="4">
        <f>SUM(D2:D9)</f>
        <v/>
      </c>
      <c r="E10" s="4">
        <f>SUM(E2:E9)</f>
        <v/>
      </c>
    </row>
    <row r="12">
      <c r="A12" t="inlineStr">
        <is>
          <t>Na linha 'Sem resposta', a coluna 'literal' conta as perguntas sem resposta.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2026-10-29T02:13:07Z</dcterms:created>
  <dcterms:modified xmlns:dcterms="http://purl.org/dc/terms/" xmlns:xsi="http://www.w3.org/2001/XMLSchema-instance" xsi:type="dcterms:W3CDTF">2026-10-29T19:56:31Z</dcterms:modified>
</cp:coreProperties>
</file>